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\nodejs\"/>
    </mc:Choice>
  </mc:AlternateContent>
  <xr:revisionPtr revIDLastSave="0" documentId="13_ncr:1_{9840E885-AD69-4606-83B3-E44B36068485}" xr6:coauthVersionLast="47" xr6:coauthVersionMax="47" xr10:uidLastSave="{00000000-0000-0000-0000-000000000000}"/>
  <bookViews>
    <workbookView xWindow="-120" yWindow="-120" windowWidth="29040" windowHeight="15840" xr2:uid="{95E13813-EDB6-40D6-B869-FD568F6306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J4" i="1"/>
  <c r="I4" i="1"/>
  <c r="H4" i="1"/>
  <c r="G4" i="1"/>
  <c r="F4" i="1"/>
</calcChain>
</file>

<file path=xl/sharedStrings.xml><?xml version="1.0" encoding="utf-8"?>
<sst xmlns="http://schemas.openxmlformats.org/spreadsheetml/2006/main" count="148" uniqueCount="112">
  <si>
    <t>PM_1차</t>
    <phoneticPr fontId="2" type="noConversion"/>
  </si>
  <si>
    <t>EAF</t>
    <phoneticPr fontId="2" type="noConversion"/>
  </si>
  <si>
    <t>TDEV</t>
    <phoneticPr fontId="2" type="noConversion"/>
  </si>
  <si>
    <t>유형</t>
    <phoneticPr fontId="2" type="noConversion"/>
  </si>
  <si>
    <t>내부 논리 파일</t>
    <phoneticPr fontId="2" type="noConversion"/>
  </si>
  <si>
    <t>외부 연계 파일</t>
    <phoneticPr fontId="2" type="noConversion"/>
  </si>
  <si>
    <t>외부 입력</t>
    <phoneticPr fontId="2" type="noConversion"/>
  </si>
  <si>
    <t>외부 출력</t>
    <phoneticPr fontId="2" type="noConversion"/>
  </si>
  <si>
    <t>외부 조회</t>
    <phoneticPr fontId="2" type="noConversion"/>
  </si>
  <si>
    <t>가중치</t>
    <phoneticPr fontId="2" type="noConversion"/>
  </si>
  <si>
    <t>기능</t>
    <phoneticPr fontId="2" type="noConversion"/>
  </si>
  <si>
    <t>기능 유형</t>
    <phoneticPr fontId="2" type="noConversion"/>
  </si>
  <si>
    <t>기능 명</t>
    <phoneticPr fontId="2" type="noConversion"/>
  </si>
  <si>
    <t>지도</t>
    <phoneticPr fontId="2" type="noConversion"/>
  </si>
  <si>
    <t>장소 마크업</t>
    <phoneticPr fontId="2" type="noConversion"/>
  </si>
  <si>
    <t>EIF</t>
    <phoneticPr fontId="2" type="noConversion"/>
  </si>
  <si>
    <t>네비게이션</t>
    <phoneticPr fontId="2" type="noConversion"/>
  </si>
  <si>
    <t>길찾기</t>
    <phoneticPr fontId="2" type="noConversion"/>
  </si>
  <si>
    <t>게시판</t>
    <phoneticPr fontId="2" type="noConversion"/>
  </si>
  <si>
    <t>시설 찾기</t>
    <phoneticPr fontId="2" type="noConversion"/>
  </si>
  <si>
    <t>사용자관리</t>
    <phoneticPr fontId="2" type="noConversion"/>
  </si>
  <si>
    <t>사용자 정보 관리</t>
    <phoneticPr fontId="2" type="noConversion"/>
  </si>
  <si>
    <t>사용자 기본 정보</t>
    <phoneticPr fontId="2" type="noConversion"/>
  </si>
  <si>
    <t>ILF</t>
    <phoneticPr fontId="2" type="noConversion"/>
  </si>
  <si>
    <t>게시판 이용</t>
    <phoneticPr fontId="2" type="noConversion"/>
  </si>
  <si>
    <t>글 삽입/수정/삭제</t>
    <phoneticPr fontId="2" type="noConversion"/>
  </si>
  <si>
    <t>애완동물 정보</t>
    <phoneticPr fontId="2" type="noConversion"/>
  </si>
  <si>
    <t>개수</t>
    <phoneticPr fontId="2" type="noConversion"/>
  </si>
  <si>
    <t>값</t>
    <phoneticPr fontId="2" type="noConversion"/>
  </si>
  <si>
    <t>특성</t>
    <phoneticPr fontId="2" type="noConversion"/>
  </si>
  <si>
    <t>비용 승수 요소</t>
    <phoneticPr fontId="2" type="noConversion"/>
  </si>
  <si>
    <t>승수값</t>
    <phoneticPr fontId="2" type="noConversion"/>
  </si>
  <si>
    <t>제품 특성</t>
    <phoneticPr fontId="2" type="noConversion"/>
  </si>
  <si>
    <t>요구되는 신뢰도</t>
    <phoneticPr fontId="2" type="noConversion"/>
  </si>
  <si>
    <t>데이터베이스 크기</t>
    <phoneticPr fontId="2" type="noConversion"/>
  </si>
  <si>
    <t>제품의 복잡도</t>
    <phoneticPr fontId="2" type="noConversion"/>
  </si>
  <si>
    <t>컴퓨터 특성</t>
    <phoneticPr fontId="2" type="noConversion"/>
  </si>
  <si>
    <t>실행 시간 제약</t>
    <phoneticPr fontId="2" type="noConversion"/>
  </si>
  <si>
    <t>주기억 장치의 제약</t>
    <phoneticPr fontId="2" type="noConversion"/>
  </si>
  <si>
    <t>HW/SW의 안정성</t>
    <phoneticPr fontId="2" type="noConversion"/>
  </si>
  <si>
    <t>처리 시간</t>
    <phoneticPr fontId="2" type="noConversion"/>
  </si>
  <si>
    <t>개발자 특성</t>
    <phoneticPr fontId="2" type="noConversion"/>
  </si>
  <si>
    <t>분석가의 능력</t>
    <phoneticPr fontId="2" type="noConversion"/>
  </si>
  <si>
    <t>응용 분야 경험</t>
    <phoneticPr fontId="2" type="noConversion"/>
  </si>
  <si>
    <t>컴퓨터와 친숙성</t>
    <phoneticPr fontId="2" type="noConversion"/>
  </si>
  <si>
    <t>프로그래머 능력</t>
    <phoneticPr fontId="2" type="noConversion"/>
  </si>
  <si>
    <t>프로그램 언어의 경험</t>
    <phoneticPr fontId="2" type="noConversion"/>
  </si>
  <si>
    <t>프로젝트 특성</t>
    <phoneticPr fontId="2" type="noConversion"/>
  </si>
  <si>
    <t>소프트웨어 공학 기술 사용</t>
    <phoneticPr fontId="2" type="noConversion"/>
  </si>
  <si>
    <t>소프트웨어 도구의 사용</t>
    <phoneticPr fontId="2" type="noConversion"/>
  </si>
  <si>
    <t>요구되는 개발 일정</t>
    <phoneticPr fontId="2" type="noConversion"/>
  </si>
  <si>
    <t>매우 낮음</t>
    <phoneticPr fontId="2" type="noConversion"/>
  </si>
  <si>
    <t>낮음</t>
    <phoneticPr fontId="2" type="noConversion"/>
  </si>
  <si>
    <t>정상</t>
    <phoneticPr fontId="2" type="noConversion"/>
  </si>
  <si>
    <t>높음</t>
    <phoneticPr fontId="2" type="noConversion"/>
  </si>
  <si>
    <t>매우높음</t>
    <phoneticPr fontId="2" type="noConversion"/>
  </si>
  <si>
    <t>극히 높음</t>
    <phoneticPr fontId="2" type="noConversion"/>
  </si>
  <si>
    <t>ㅡ</t>
    <phoneticPr fontId="2" type="noConversion"/>
  </si>
  <si>
    <t>기능명</t>
    <phoneticPr fontId="2" type="noConversion"/>
  </si>
  <si>
    <t>기능유형</t>
    <phoneticPr fontId="2" type="noConversion"/>
  </si>
  <si>
    <t>지도관리</t>
    <phoneticPr fontId="2" type="noConversion"/>
  </si>
  <si>
    <t>반려동물 시설 데이터 관리</t>
    <phoneticPr fontId="2" type="noConversion"/>
  </si>
  <si>
    <t>시설 데이터 마크업</t>
    <phoneticPr fontId="2" type="noConversion"/>
  </si>
  <si>
    <t>네비게이션 관리</t>
    <phoneticPr fontId="2" type="noConversion"/>
  </si>
  <si>
    <t>길안내</t>
    <phoneticPr fontId="2" type="noConversion"/>
  </si>
  <si>
    <t>EQ</t>
    <phoneticPr fontId="2" type="noConversion"/>
  </si>
  <si>
    <t>게시판 관리</t>
    <phoneticPr fontId="2" type="noConversion"/>
  </si>
  <si>
    <t>게시판 글 등록</t>
    <phoneticPr fontId="2" type="noConversion"/>
  </si>
  <si>
    <t>게시판 글 수정</t>
    <phoneticPr fontId="2" type="noConversion"/>
  </si>
  <si>
    <t>게시판 글 삭제</t>
    <phoneticPr fontId="2" type="noConversion"/>
  </si>
  <si>
    <t>EO</t>
    <phoneticPr fontId="2" type="noConversion"/>
  </si>
  <si>
    <t>EI</t>
    <phoneticPr fontId="2" type="noConversion"/>
  </si>
  <si>
    <t>사용자 관리</t>
    <phoneticPr fontId="2" type="noConversion"/>
  </si>
  <si>
    <t>회원 정보 등록</t>
    <phoneticPr fontId="2" type="noConversion"/>
  </si>
  <si>
    <t>회원정보 수정</t>
    <phoneticPr fontId="2" type="noConversion"/>
  </si>
  <si>
    <t>회원탈퇴</t>
    <phoneticPr fontId="2" type="noConversion"/>
  </si>
  <si>
    <t>애완동물 정보 등록</t>
    <phoneticPr fontId="2" type="noConversion"/>
  </si>
  <si>
    <t>애완동물 정보 수정</t>
    <phoneticPr fontId="2" type="noConversion"/>
  </si>
  <si>
    <t>게시판 글 조회</t>
    <phoneticPr fontId="2" type="noConversion"/>
  </si>
  <si>
    <t>회원 정보 조회</t>
    <phoneticPr fontId="2" type="noConversion"/>
  </si>
  <si>
    <t>애완동물 정보 조회</t>
    <phoneticPr fontId="2" type="noConversion"/>
  </si>
  <si>
    <t>스프린트</t>
    <phoneticPr fontId="2" type="noConversion"/>
  </si>
  <si>
    <t>사용자 스토리</t>
    <phoneticPr fontId="2" type="noConversion"/>
  </si>
  <si>
    <t>SP</t>
    <phoneticPr fontId="2" type="noConversion"/>
  </si>
  <si>
    <t>작업</t>
    <phoneticPr fontId="2" type="noConversion"/>
  </si>
  <si>
    <t>MD</t>
    <phoneticPr fontId="2" type="noConversion"/>
  </si>
  <si>
    <t>개발자</t>
    <phoneticPr fontId="2" type="noConversion"/>
  </si>
  <si>
    <t>회원가입/로그인</t>
    <phoneticPr fontId="2" type="noConversion"/>
  </si>
  <si>
    <t>사용자는 회원가입 및 로그인/로그아웃을 원함</t>
    <phoneticPr fontId="2" type="noConversion"/>
  </si>
  <si>
    <t>UI작업</t>
    <phoneticPr fontId="2" type="noConversion"/>
  </si>
  <si>
    <t>회원정보 DB설계 및 구현</t>
    <phoneticPr fontId="2" type="noConversion"/>
  </si>
  <si>
    <t>서버연동</t>
    <phoneticPr fontId="2" type="noConversion"/>
  </si>
  <si>
    <t>최서인</t>
    <phoneticPr fontId="2" type="noConversion"/>
  </si>
  <si>
    <t>박연수</t>
    <phoneticPr fontId="2" type="noConversion"/>
  </si>
  <si>
    <t>사용자는 시설을 검색하거나 길 안내를 받길 원함</t>
    <phoneticPr fontId="2" type="noConversion"/>
  </si>
  <si>
    <t>시설 데이터 수집 및 정제</t>
    <phoneticPr fontId="2" type="noConversion"/>
  </si>
  <si>
    <t>지도API 적용</t>
    <phoneticPr fontId="2" type="noConversion"/>
  </si>
  <si>
    <t>웹사이트 서버 연결</t>
    <phoneticPr fontId="2" type="noConversion"/>
  </si>
  <si>
    <t>네비게이션 API적용</t>
    <phoneticPr fontId="2" type="noConversion"/>
  </si>
  <si>
    <t>최서인, 최승욱</t>
    <phoneticPr fontId="2" type="noConversion"/>
  </si>
  <si>
    <t>최승욱</t>
    <phoneticPr fontId="2" type="noConversion"/>
  </si>
  <si>
    <t>사용자는 게시판에서 글을 쓰거나 보는 등의 정보 공유를 하고싶음</t>
    <phoneticPr fontId="2" type="noConversion"/>
  </si>
  <si>
    <t>게시판 DB 설계 및 구현</t>
    <phoneticPr fontId="2" type="noConversion"/>
  </si>
  <si>
    <t>마이페이지</t>
    <phoneticPr fontId="2" type="noConversion"/>
  </si>
  <si>
    <t>사용자는 마이페이지에서 정보를 수정하거나 확인하고 싶음</t>
    <phoneticPr fontId="2" type="noConversion"/>
  </si>
  <si>
    <t>기능점수</t>
    <phoneticPr fontId="2" type="noConversion"/>
  </si>
  <si>
    <t>보정 전 개발 원가</t>
    <phoneticPr fontId="2" type="noConversion"/>
  </si>
  <si>
    <t>보정계수</t>
    <phoneticPr fontId="2" type="noConversion"/>
  </si>
  <si>
    <t>보정 후 개발 원가</t>
    <phoneticPr fontId="2" type="noConversion"/>
  </si>
  <si>
    <t>90.0x553,144원 = 49,782,960원</t>
    <phoneticPr fontId="2" type="noConversion"/>
  </si>
  <si>
    <t>규모(0.65)x애플리케이션(1.3)x언어(0.8)x품질특성(1.0)</t>
    <phoneticPr fontId="2" type="noConversion"/>
  </si>
  <si>
    <t>49,782,960x0.65x1.3x0.8x1.0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</si>
</sst>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3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 applyAlignment="1">
      <alignment horizontal="center" vertical="center"/>
    </xf>
    <xf numFmtId="3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B744-BC3C-45B3-B9BA-F5DF276F9DD1}">
  <dimension ref="A1:W42"/>
  <sheetViews>
    <sheetView tabSelected="1" workbookViewId="0">
      <selection activeCell="C16" sqref="C16"/>
    </sheetView>
  </sheetViews>
  <sheetFormatPr defaultRowHeight="16.5"/>
  <cols>
    <col min="2" max="2" width="23.5" customWidth="1"/>
    <col min="3" max="3" width="46.5" customWidth="1"/>
    <col min="4" max="4" width="10.75" customWidth="1"/>
    <col min="5" max="5" width="10.25" customWidth="1"/>
    <col min="6" max="6" width="14.75" customWidth="1"/>
    <col min="7" max="7" width="14.875" customWidth="1"/>
    <col min="8" max="8" width="9" customWidth="1"/>
    <col min="13" max="13" width="12.875" customWidth="1"/>
    <col min="14" max="14" width="23.125" customWidth="1"/>
    <col min="15" max="15" width="19.75" customWidth="1"/>
    <col min="16" max="16" width="10.625" customWidth="1"/>
    <col min="17" max="17" width="7.625" customWidth="1"/>
    <col min="18" max="18" width="14.25" customWidth="1"/>
    <col min="19" max="19" width="58.375" customWidth="1"/>
    <col min="21" max="21" width="22.625" customWidth="1"/>
    <col min="23" max="23" width="13.125" customWidth="1"/>
  </cols>
  <sheetData>
    <row r="1" spans="1:23">
      <c r="A1" s="1" t="s">
        <v>0</v>
      </c>
      <c r="B1" s="1" t="s">
        <v>1</v>
      </c>
      <c r="C1" s="1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105</v>
      </c>
      <c r="M1" s="1" t="s">
        <v>10</v>
      </c>
      <c r="N1" s="1" t="s">
        <v>11</v>
      </c>
      <c r="O1" s="1" t="s">
        <v>12</v>
      </c>
      <c r="P1" s="1" t="s">
        <v>11</v>
      </c>
      <c r="R1" s="3" t="s">
        <v>81</v>
      </c>
      <c r="S1" s="3" t="s">
        <v>82</v>
      </c>
      <c r="T1" s="3" t="s">
        <v>83</v>
      </c>
      <c r="U1" s="3" t="s">
        <v>84</v>
      </c>
      <c r="V1" s="3" t="s">
        <v>85</v>
      </c>
      <c r="W1" s="3" t="s">
        <v>86</v>
      </c>
    </row>
    <row r="2" spans="1:23">
      <c r="A2">
        <v>6.28</v>
      </c>
      <c r="B2">
        <v>0.67</v>
      </c>
      <c r="C2">
        <v>5.0199999999999996</v>
      </c>
      <c r="E2" s="11" t="s">
        <v>9</v>
      </c>
      <c r="F2" s="11">
        <v>7.5</v>
      </c>
      <c r="G2" s="11">
        <v>5.4</v>
      </c>
      <c r="H2" s="11">
        <v>4</v>
      </c>
      <c r="I2" s="11">
        <v>5.2</v>
      </c>
      <c r="J2" s="11">
        <v>3.9</v>
      </c>
      <c r="K2" s="11"/>
      <c r="M2" s="2" t="s">
        <v>13</v>
      </c>
      <c r="N2" t="s">
        <v>19</v>
      </c>
      <c r="O2" t="s">
        <v>14</v>
      </c>
      <c r="P2" t="s">
        <v>15</v>
      </c>
      <c r="R2" s="10" t="s">
        <v>87</v>
      </c>
      <c r="S2" s="10" t="s">
        <v>88</v>
      </c>
      <c r="T2" s="10">
        <v>18</v>
      </c>
      <c r="U2" s="11" t="s">
        <v>89</v>
      </c>
      <c r="V2" s="11">
        <v>3</v>
      </c>
      <c r="W2" s="11" t="s">
        <v>92</v>
      </c>
    </row>
    <row r="3" spans="1:23">
      <c r="E3" s="11" t="s">
        <v>27</v>
      </c>
      <c r="F3" s="11">
        <v>3</v>
      </c>
      <c r="G3" s="11">
        <v>2</v>
      </c>
      <c r="H3" s="11">
        <v>8</v>
      </c>
      <c r="I3" s="11">
        <v>1</v>
      </c>
      <c r="J3" s="11">
        <v>5</v>
      </c>
      <c r="K3" s="11"/>
      <c r="M3" s="2"/>
      <c r="N3" t="s">
        <v>16</v>
      </c>
      <c r="O3" t="s">
        <v>17</v>
      </c>
      <c r="P3" t="s">
        <v>15</v>
      </c>
      <c r="R3" s="10"/>
      <c r="S3" s="10"/>
      <c r="T3" s="10"/>
      <c r="U3" s="11" t="s">
        <v>90</v>
      </c>
      <c r="V3" s="11">
        <v>1</v>
      </c>
      <c r="W3" s="11" t="s">
        <v>93</v>
      </c>
    </row>
    <row r="4" spans="1:23">
      <c r="E4" s="11" t="s">
        <v>28</v>
      </c>
      <c r="F4" s="11">
        <f>F2*F3</f>
        <v>22.5</v>
      </c>
      <c r="G4" s="11">
        <f>G2*G3</f>
        <v>10.8</v>
      </c>
      <c r="H4" s="11">
        <f>H2*H3</f>
        <v>32</v>
      </c>
      <c r="I4" s="11">
        <f>I2*I3</f>
        <v>5.2</v>
      </c>
      <c r="J4" s="11">
        <f>J2*J3</f>
        <v>19.5</v>
      </c>
      <c r="K4" s="11">
        <f>SUM(F4,G4,H4,I4,J4)</f>
        <v>90</v>
      </c>
      <c r="M4" s="2" t="s">
        <v>20</v>
      </c>
      <c r="N4" s="2" t="s">
        <v>21</v>
      </c>
      <c r="O4" t="s">
        <v>26</v>
      </c>
      <c r="P4" t="s">
        <v>23</v>
      </c>
      <c r="R4" s="10"/>
      <c r="S4" s="10"/>
      <c r="T4" s="10"/>
      <c r="U4" s="11" t="s">
        <v>91</v>
      </c>
      <c r="V4" s="11">
        <v>2</v>
      </c>
      <c r="W4" s="11" t="s">
        <v>93</v>
      </c>
    </row>
    <row r="5" spans="1:23">
      <c r="M5" s="2"/>
      <c r="N5" s="2"/>
      <c r="O5" t="s">
        <v>22</v>
      </c>
      <c r="P5" t="s">
        <v>23</v>
      </c>
      <c r="R5" s="10" t="s">
        <v>13</v>
      </c>
      <c r="S5" s="10" t="s">
        <v>94</v>
      </c>
      <c r="T5" s="10">
        <v>16</v>
      </c>
      <c r="U5" s="11" t="s">
        <v>89</v>
      </c>
      <c r="V5" s="11">
        <v>5</v>
      </c>
      <c r="W5" s="11" t="s">
        <v>92</v>
      </c>
    </row>
    <row r="6" spans="1:23">
      <c r="M6" t="s">
        <v>18</v>
      </c>
      <c r="N6" t="s">
        <v>24</v>
      </c>
      <c r="O6" t="s">
        <v>25</v>
      </c>
      <c r="P6" t="s">
        <v>23</v>
      </c>
      <c r="R6" s="10"/>
      <c r="S6" s="10"/>
      <c r="T6" s="10"/>
      <c r="U6" s="11" t="s">
        <v>95</v>
      </c>
      <c r="V6" s="11">
        <v>1</v>
      </c>
      <c r="W6" s="11" t="s">
        <v>99</v>
      </c>
    </row>
    <row r="7" spans="1:23">
      <c r="R7" s="10"/>
      <c r="S7" s="10"/>
      <c r="T7" s="10"/>
      <c r="U7" s="11" t="s">
        <v>96</v>
      </c>
      <c r="V7" s="11">
        <v>2</v>
      </c>
      <c r="W7" s="11" t="s">
        <v>100</v>
      </c>
    </row>
    <row r="8" spans="1:23">
      <c r="R8" s="10"/>
      <c r="S8" s="10"/>
      <c r="T8" s="10"/>
      <c r="U8" s="11" t="s">
        <v>97</v>
      </c>
      <c r="V8" s="11">
        <v>2</v>
      </c>
      <c r="W8" s="11" t="s">
        <v>93</v>
      </c>
    </row>
    <row r="9" spans="1:23">
      <c r="H9" s="3" t="s">
        <v>29</v>
      </c>
      <c r="I9" s="3" t="s">
        <v>30</v>
      </c>
      <c r="J9" s="4" t="s">
        <v>31</v>
      </c>
      <c r="K9" s="4"/>
      <c r="L9" s="4"/>
      <c r="M9" s="4"/>
      <c r="N9" s="4"/>
      <c r="O9" s="4"/>
      <c r="R9" s="10"/>
      <c r="S9" s="10"/>
      <c r="T9" s="10"/>
      <c r="U9" s="11" t="s">
        <v>98</v>
      </c>
      <c r="V9" s="11">
        <v>2</v>
      </c>
      <c r="W9" s="11" t="s">
        <v>93</v>
      </c>
    </row>
    <row r="10" spans="1:23">
      <c r="B10" s="3" t="s">
        <v>106</v>
      </c>
      <c r="C10" s="11" t="s">
        <v>109</v>
      </c>
      <c r="D10" s="13">
        <v>49782960</v>
      </c>
      <c r="H10" s="3"/>
      <c r="I10" s="3"/>
      <c r="J10" s="5" t="s">
        <v>51</v>
      </c>
      <c r="K10" s="5" t="s">
        <v>52</v>
      </c>
      <c r="L10" s="5" t="s">
        <v>53</v>
      </c>
      <c r="M10" s="5" t="s">
        <v>54</v>
      </c>
      <c r="N10" s="5" t="s">
        <v>55</v>
      </c>
      <c r="O10" s="5" t="s">
        <v>56</v>
      </c>
      <c r="R10" s="12" t="s">
        <v>18</v>
      </c>
      <c r="S10" s="10" t="s">
        <v>101</v>
      </c>
      <c r="T10" s="10">
        <v>24</v>
      </c>
      <c r="U10" s="11" t="s">
        <v>89</v>
      </c>
      <c r="V10" s="11">
        <v>3</v>
      </c>
      <c r="W10" s="11" t="s">
        <v>92</v>
      </c>
    </row>
    <row r="11" spans="1:23">
      <c r="B11" s="3" t="s">
        <v>107</v>
      </c>
      <c r="C11" s="11" t="s">
        <v>110</v>
      </c>
      <c r="D11" s="11"/>
      <c r="H11" s="2" t="s">
        <v>32</v>
      </c>
      <c r="I11" t="s">
        <v>33</v>
      </c>
      <c r="J11" s="7">
        <v>0.75</v>
      </c>
      <c r="K11">
        <v>0.88</v>
      </c>
      <c r="L11" s="6">
        <v>1</v>
      </c>
      <c r="M11">
        <v>1.1499999999999999</v>
      </c>
      <c r="N11">
        <v>1.4</v>
      </c>
      <c r="R11" s="12"/>
      <c r="S11" s="10"/>
      <c r="T11" s="10"/>
      <c r="U11" s="11" t="s">
        <v>102</v>
      </c>
      <c r="V11" s="11">
        <v>1</v>
      </c>
      <c r="W11" s="11" t="s">
        <v>93</v>
      </c>
    </row>
    <row r="12" spans="1:23">
      <c r="B12" s="3" t="s">
        <v>108</v>
      </c>
      <c r="C12" s="11" t="s">
        <v>111</v>
      </c>
      <c r="D12" s="13">
        <v>33653280</v>
      </c>
      <c r="H12" s="2"/>
      <c r="I12" t="s">
        <v>34</v>
      </c>
      <c r="J12" s="6">
        <v>0.94</v>
      </c>
      <c r="K12">
        <v>1</v>
      </c>
      <c r="L12">
        <v>1.08</v>
      </c>
      <c r="M12">
        <v>1.1599999999999999</v>
      </c>
      <c r="R12" s="12"/>
      <c r="S12" s="10"/>
      <c r="T12" s="10"/>
      <c r="U12" s="11" t="s">
        <v>91</v>
      </c>
      <c r="V12" s="11">
        <v>2</v>
      </c>
      <c r="W12" s="11" t="s">
        <v>93</v>
      </c>
    </row>
    <row r="13" spans="1:23">
      <c r="H13" s="2"/>
      <c r="I13" t="s">
        <v>35</v>
      </c>
      <c r="J13" s="6">
        <v>0.7</v>
      </c>
      <c r="K13" s="8">
        <v>0.85</v>
      </c>
      <c r="L13">
        <v>1</v>
      </c>
      <c r="M13">
        <v>1.1499999999999999</v>
      </c>
      <c r="N13">
        <v>1.3</v>
      </c>
      <c r="O13">
        <v>1.65</v>
      </c>
      <c r="R13" s="10" t="s">
        <v>103</v>
      </c>
      <c r="S13" s="10" t="s">
        <v>104</v>
      </c>
      <c r="T13" s="10">
        <v>32</v>
      </c>
      <c r="U13" s="11" t="s">
        <v>89</v>
      </c>
      <c r="V13" s="11">
        <v>3</v>
      </c>
      <c r="W13" s="11" t="s">
        <v>92</v>
      </c>
    </row>
    <row r="14" spans="1:23">
      <c r="H14" s="2" t="s">
        <v>36</v>
      </c>
      <c r="I14" t="s">
        <v>37</v>
      </c>
      <c r="L14" s="6">
        <v>1</v>
      </c>
      <c r="M14">
        <v>1.1100000000000001</v>
      </c>
      <c r="N14">
        <v>1.3</v>
      </c>
      <c r="O14">
        <v>1.66</v>
      </c>
      <c r="R14" s="10"/>
      <c r="S14" s="10"/>
      <c r="T14" s="10"/>
      <c r="U14" s="11" t="s">
        <v>90</v>
      </c>
      <c r="V14" s="11">
        <v>1</v>
      </c>
      <c r="W14" s="11" t="s">
        <v>93</v>
      </c>
    </row>
    <row r="15" spans="1:23">
      <c r="H15" s="2"/>
      <c r="I15" t="s">
        <v>38</v>
      </c>
      <c r="L15" s="6">
        <v>1</v>
      </c>
      <c r="M15">
        <v>1.06</v>
      </c>
      <c r="N15">
        <v>1.21</v>
      </c>
      <c r="O15">
        <v>1.56</v>
      </c>
      <c r="R15" s="10"/>
      <c r="S15" s="10"/>
      <c r="T15" s="10"/>
      <c r="U15" s="11" t="s">
        <v>91</v>
      </c>
      <c r="V15" s="11">
        <v>2</v>
      </c>
      <c r="W15" s="11" t="s">
        <v>93</v>
      </c>
    </row>
    <row r="16" spans="1:23">
      <c r="H16" s="2"/>
      <c r="I16" t="s">
        <v>39</v>
      </c>
      <c r="K16">
        <v>0.87</v>
      </c>
      <c r="L16" s="6">
        <v>1</v>
      </c>
      <c r="M16">
        <v>1.1499999999999999</v>
      </c>
      <c r="N16">
        <v>1.3</v>
      </c>
    </row>
    <row r="17" spans="8:16">
      <c r="H17" s="2"/>
      <c r="I17" t="s">
        <v>40</v>
      </c>
      <c r="K17">
        <v>0.87</v>
      </c>
      <c r="L17" s="6">
        <v>1</v>
      </c>
      <c r="M17">
        <v>1.07</v>
      </c>
      <c r="N17">
        <v>1.1499999999999999</v>
      </c>
    </row>
    <row r="18" spans="8:16">
      <c r="H18" s="2" t="s">
        <v>41</v>
      </c>
      <c r="I18" t="s">
        <v>42</v>
      </c>
      <c r="J18">
        <v>1.46</v>
      </c>
      <c r="K18">
        <v>1.19</v>
      </c>
      <c r="L18" s="6">
        <v>1</v>
      </c>
      <c r="M18">
        <v>0.86</v>
      </c>
      <c r="N18">
        <v>0.71</v>
      </c>
    </row>
    <row r="19" spans="8:16">
      <c r="H19" s="2"/>
      <c r="I19" t="s">
        <v>43</v>
      </c>
      <c r="J19">
        <v>1.29</v>
      </c>
      <c r="K19">
        <v>1.1299999999999999</v>
      </c>
      <c r="L19" s="6">
        <v>1</v>
      </c>
      <c r="M19">
        <v>0.91</v>
      </c>
      <c r="N19">
        <v>0.82</v>
      </c>
    </row>
    <row r="20" spans="8:16">
      <c r="H20" s="2"/>
      <c r="I20" t="s">
        <v>44</v>
      </c>
      <c r="J20">
        <v>1.21</v>
      </c>
      <c r="K20">
        <v>1.1000000000000001</v>
      </c>
      <c r="L20" s="6">
        <v>1</v>
      </c>
      <c r="M20">
        <v>0.9</v>
      </c>
      <c r="N20" t="s">
        <v>57</v>
      </c>
    </row>
    <row r="21" spans="8:16">
      <c r="H21" s="2"/>
      <c r="I21" t="s">
        <v>45</v>
      </c>
      <c r="J21">
        <v>1.42</v>
      </c>
      <c r="K21">
        <v>1.17</v>
      </c>
      <c r="L21" s="6">
        <v>1</v>
      </c>
      <c r="M21">
        <v>0.86</v>
      </c>
      <c r="N21">
        <v>0.7</v>
      </c>
    </row>
    <row r="22" spans="8:16">
      <c r="H22" s="2"/>
      <c r="I22" t="s">
        <v>46</v>
      </c>
      <c r="J22">
        <v>1.1399999999999999</v>
      </c>
      <c r="K22">
        <v>1.07</v>
      </c>
      <c r="L22" s="6">
        <v>1</v>
      </c>
      <c r="M22">
        <v>0.95</v>
      </c>
    </row>
    <row r="23" spans="8:16">
      <c r="H23" s="2" t="s">
        <v>47</v>
      </c>
      <c r="I23" t="s">
        <v>48</v>
      </c>
      <c r="J23">
        <v>1.24</v>
      </c>
      <c r="K23">
        <v>1.1000000000000001</v>
      </c>
      <c r="L23" s="6">
        <v>1</v>
      </c>
      <c r="M23">
        <v>0.91</v>
      </c>
      <c r="N23">
        <v>0.82</v>
      </c>
    </row>
    <row r="24" spans="8:16">
      <c r="H24" s="2"/>
      <c r="I24" t="s">
        <v>49</v>
      </c>
      <c r="J24">
        <v>1.24</v>
      </c>
      <c r="K24">
        <v>1.1000000000000001</v>
      </c>
      <c r="L24" s="6">
        <v>1</v>
      </c>
      <c r="M24">
        <v>0.91</v>
      </c>
      <c r="N24">
        <v>0.83</v>
      </c>
    </row>
    <row r="25" spans="8:16">
      <c r="H25" s="2"/>
      <c r="I25" t="s">
        <v>50</v>
      </c>
      <c r="J25">
        <v>1.23</v>
      </c>
      <c r="K25">
        <v>1.08</v>
      </c>
      <c r="L25" s="6">
        <v>1</v>
      </c>
      <c r="M25">
        <v>1.04</v>
      </c>
      <c r="N25">
        <v>1.1000000000000001</v>
      </c>
    </row>
    <row r="29" spans="8:16">
      <c r="M29" s="3" t="s">
        <v>58</v>
      </c>
      <c r="N29" s="3" t="s">
        <v>59</v>
      </c>
      <c r="O29" s="3" t="s">
        <v>58</v>
      </c>
      <c r="P29" s="3" t="s">
        <v>59</v>
      </c>
    </row>
    <row r="30" spans="8:16">
      <c r="M30" s="9" t="s">
        <v>60</v>
      </c>
      <c r="N30" t="s">
        <v>61</v>
      </c>
      <c r="O30" t="s">
        <v>62</v>
      </c>
      <c r="P30" t="s">
        <v>70</v>
      </c>
    </row>
    <row r="31" spans="8:16">
      <c r="M31" s="2"/>
      <c r="N31" t="s">
        <v>63</v>
      </c>
      <c r="O31" t="s">
        <v>64</v>
      </c>
      <c r="P31" t="s">
        <v>65</v>
      </c>
    </row>
    <row r="32" spans="8:16">
      <c r="M32" s="2" t="s">
        <v>66</v>
      </c>
      <c r="N32" s="2" t="s">
        <v>66</v>
      </c>
      <c r="O32" t="s">
        <v>67</v>
      </c>
      <c r="P32" t="s">
        <v>71</v>
      </c>
    </row>
    <row r="33" spans="13:16">
      <c r="M33" s="2"/>
      <c r="N33" s="2"/>
      <c r="O33" t="s">
        <v>68</v>
      </c>
      <c r="P33" t="s">
        <v>71</v>
      </c>
    </row>
    <row r="34" spans="13:16">
      <c r="M34" s="2"/>
      <c r="N34" s="2"/>
      <c r="O34" t="s">
        <v>78</v>
      </c>
      <c r="P34" t="s">
        <v>65</v>
      </c>
    </row>
    <row r="35" spans="13:16">
      <c r="M35" s="2"/>
      <c r="N35" s="2"/>
      <c r="O35" t="s">
        <v>69</v>
      </c>
      <c r="P35" t="s">
        <v>71</v>
      </c>
    </row>
    <row r="36" spans="13:16">
      <c r="M36" s="2" t="s">
        <v>72</v>
      </c>
      <c r="N36" s="2" t="s">
        <v>21</v>
      </c>
      <c r="O36" t="s">
        <v>73</v>
      </c>
      <c r="P36" t="s">
        <v>71</v>
      </c>
    </row>
    <row r="37" spans="13:16">
      <c r="M37" s="2"/>
      <c r="N37" s="2"/>
      <c r="O37" t="s">
        <v>79</v>
      </c>
      <c r="P37" t="s">
        <v>65</v>
      </c>
    </row>
    <row r="38" spans="13:16">
      <c r="M38" s="2"/>
      <c r="N38" s="2"/>
      <c r="O38" t="s">
        <v>74</v>
      </c>
      <c r="P38" t="s">
        <v>71</v>
      </c>
    </row>
    <row r="39" spans="13:16">
      <c r="M39" s="2"/>
      <c r="N39" s="2"/>
      <c r="O39" t="s">
        <v>75</v>
      </c>
      <c r="P39" t="s">
        <v>71</v>
      </c>
    </row>
    <row r="40" spans="13:16">
      <c r="M40" s="2"/>
      <c r="N40" s="2"/>
      <c r="O40" t="s">
        <v>76</v>
      </c>
      <c r="P40" t="s">
        <v>71</v>
      </c>
    </row>
    <row r="41" spans="13:16">
      <c r="M41" s="2"/>
      <c r="N41" s="2"/>
      <c r="O41" t="s">
        <v>80</v>
      </c>
      <c r="P41" t="s">
        <v>65</v>
      </c>
    </row>
    <row r="42" spans="13:16">
      <c r="M42" s="2"/>
      <c r="N42" s="2"/>
      <c r="O42" t="s">
        <v>77</v>
      </c>
      <c r="P42" t="s">
        <v>71</v>
      </c>
    </row>
  </sheetData>
  <mergeCells count="25">
    <mergeCell ref="S13:S15"/>
    <mergeCell ref="T13:T15"/>
    <mergeCell ref="S2:S4"/>
    <mergeCell ref="T2:T4"/>
    <mergeCell ref="R5:R9"/>
    <mergeCell ref="S5:S9"/>
    <mergeCell ref="T5:T9"/>
    <mergeCell ref="R10:R12"/>
    <mergeCell ref="S10:S12"/>
    <mergeCell ref="T10:T12"/>
    <mergeCell ref="N32:N35"/>
    <mergeCell ref="M36:M42"/>
    <mergeCell ref="N36:N42"/>
    <mergeCell ref="H18:H22"/>
    <mergeCell ref="H23:H25"/>
    <mergeCell ref="R2:R4"/>
    <mergeCell ref="R13:R15"/>
    <mergeCell ref="M30:M31"/>
    <mergeCell ref="M32:M35"/>
    <mergeCell ref="J9:O9"/>
    <mergeCell ref="M2:M3"/>
    <mergeCell ref="M4:M5"/>
    <mergeCell ref="N4:N5"/>
    <mergeCell ref="H11:H13"/>
    <mergeCell ref="H14:H1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pys</dc:creator>
  <cp:lastModifiedBy>pys</cp:lastModifiedBy>
  <dcterms:created xsi:type="dcterms:W3CDTF">2023-06-12T09:59:34Z</dcterms:created>
  <dcterms:modified xsi:type="dcterms:W3CDTF">2023-06-12T15:22:40Z</dcterms:modified>
</cp:coreProperties>
</file>